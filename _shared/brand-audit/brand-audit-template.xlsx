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Brand Truth Review" sheetId="2" state="visible" r:id="rId2"/>
    <sheet name="Initiatives" sheetId="3" state="visible" r:id="rId3"/>
  </sheets>
  <definedNames>
    <definedName name="_xlnm._FilterDatabase" localSheetId="0" hidden="1">'Checklist'!$B$7:$K$67</definedName>
    <definedName name="_xlnm._FilterDatabase" localSheetId="1" hidden="1">'Brand Truth Review'!$B$7:$J$67</definedName>
    <definedName name="_xlnm._FilterDatabase" localSheetId="2" hidden="1">'Initiatives'!$B$5:$M$65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b val="1"/>
      <color rgb="001F2937"/>
      <sz val="16"/>
    </font>
    <font>
      <b val="1"/>
      <color rgb="00FFFFFF"/>
      <sz val="11"/>
    </font>
    <font>
      <color rgb="001D4ED8"/>
      <u val="single"/>
    </font>
    <font>
      <name val="Consolas"/>
    </font>
    <font>
      <name val="Consolas"/>
      <sz val="9"/>
    </font>
    <font>
      <i val="1"/>
      <color rgb="006B7280"/>
      <sz val="9"/>
    </font>
    <font>
      <i val="1"/>
      <color rgb="006B728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the-vibe-marketing-lab/mos-geo-skills/tree/main/mos-geo-brand-360" TargetMode="External" Id="rId1" /><Relationship Type="http://schemas.openxmlformats.org/officeDocument/2006/relationships/hyperlink" Target="https://github.com/the-vibe-marketing-lab/mos-geo-skills/tree/main/mos-geo-ai-info" TargetMode="External" Id="rId2" /><Relationship Type="http://schemas.openxmlformats.org/officeDocument/2006/relationships/hyperlink" Target="https://github.com/the-vibe-marketing-lab/mos-geo-skills/tree/main/mos-geo-llm-buttons" TargetMode="External" Id="rId3" /><Relationship Type="http://schemas.openxmlformats.org/officeDocument/2006/relationships/hyperlink" Target="https://github.com/the-vibe-marketing-lab/mos-geo-skills/tree/main/mos-geo-internal-links" TargetMode="External" Id="rId4" /><Relationship Type="http://schemas.openxmlformats.org/officeDocument/2006/relationships/hyperlink" Target="https://github.com/the-vibe-marketing-lab/mos-geo-skills/tree/main/mos-geo-fan-out" TargetMode="Externa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24" customWidth="1" min="3" max="3"/>
    <col width="60" customWidth="1" min="4" max="4"/>
    <col width="20" customWidth="1" min="5" max="5"/>
    <col width="44" customWidth="1" min="6" max="6"/>
    <col width="22" customWidth="1" min="7" max="7"/>
    <col width="16" customWidth="1" min="8" max="8"/>
    <col width="8" customWidth="1" min="9" max="9"/>
    <col width="13" customWidth="1" min="10" max="10"/>
    <col width="40" customWidth="1" min="11" max="11"/>
  </cols>
  <sheetData>
    <row r="2">
      <c r="B2" s="1" t="inlineStr">
        <is>
          <t>GEO Brand Audit: Checklist</t>
        </is>
      </c>
    </row>
    <row r="3">
      <c r="B3" s="2" t="inlineStr">
        <is>
          <t>Client: [CLIENT]      Brand name (as customers say it): [BRAND]      Industry: [INDUSTRY]      Month: [YYYY-MM]</t>
        </is>
      </c>
    </row>
    <row r="4">
      <c r="B4" s="2" t="inlineStr">
        <is>
          <t>How to use: run each skill below in the MarketingOS brain, paste the output location, set Status, tick Done.</t>
        </is>
      </c>
    </row>
    <row r="5">
      <c r="B5" s="2" t="inlineStr">
        <is>
          <t>Rows are generated from the mos-geo-skills pack. New skills appear here when the template is rebuilt.</t>
        </is>
      </c>
    </row>
    <row r="7" ht="32" customHeight="1">
      <c r="B7" s="3" t="inlineStr">
        <is>
          <t>Category</t>
        </is>
      </c>
      <c r="C7" s="3" t="inlineStr">
        <is>
          <t>Skill</t>
        </is>
      </c>
      <c r="D7" s="3" t="inlineStr">
        <is>
          <t>What it does</t>
        </is>
      </c>
      <c r="E7" s="3" t="inlineStr">
        <is>
          <t>Run</t>
        </is>
      </c>
      <c r="F7" s="3" t="inlineStr">
        <is>
          <t>Output (where the result is saved)</t>
        </is>
      </c>
      <c r="G7" s="3" t="inlineStr">
        <is>
          <t>Feeds tab</t>
        </is>
      </c>
      <c r="H7" s="3" t="inlineStr">
        <is>
          <t>Status</t>
        </is>
      </c>
      <c r="I7" s="3" t="inlineStr">
        <is>
          <t>Done</t>
        </is>
      </c>
      <c r="J7" s="3" t="inlineStr">
        <is>
          <t>Date run</t>
        </is>
      </c>
      <c r="K7" s="3" t="inlineStr">
        <is>
          <t>Link to result / notes</t>
        </is>
      </c>
    </row>
    <row r="8">
      <c r="B8" s="4" t="inlineStr">
        <is>
          <t>Brand Optimisation</t>
        </is>
      </c>
      <c r="C8" s="5" t="inlineStr">
        <is>
          <t>mos-geo-brand-360</t>
        </is>
      </c>
      <c r="D8" s="4" t="inlineStr">
        <is>
          <t>360° brand intelligence report plus an AI Visibility Scorecard: does ChatGPT, Claude, Gemini, Perplexity, Google AI Mode and AI Overviews know, find, cite and recommend the brand.</t>
        </is>
      </c>
      <c r="E8" s="6" t="inlineStr">
        <is>
          <t>/mos-geo-brand-360</t>
        </is>
      </c>
      <c r="F8" s="7" t="inlineStr">
        <is>
          <t>campaigns/geo/YYYY-MM/brand-360-report/</t>
        </is>
      </c>
      <c r="G8" s="4" t="inlineStr">
        <is>
          <t>Brand Truth Review</t>
        </is>
      </c>
      <c r="H8" s="4" t="inlineStr">
        <is>
          <t>Not started</t>
        </is>
      </c>
      <c r="I8" s="4" t="inlineStr">
        <is>
          <t>☐</t>
        </is>
      </c>
      <c r="J8" s="8" t="n"/>
      <c r="K8" s="4" t="n"/>
    </row>
    <row r="9">
      <c r="B9" s="4" t="inlineStr">
        <is>
          <t>Brand Optimisation</t>
        </is>
      </c>
      <c r="C9" s="5" t="inlineStr">
        <is>
          <t>mos-geo-ai-info</t>
        </is>
      </c>
      <c r="D9" s="4" t="inlineStr">
        <is>
          <t>AI Info Page: an official, sourced fact sheet for ChatGPT, Claude, Perplexity and Gemini (basic info, background, services, clients, methods, advantages, guidance for AI), with one schema file and a developer handover.</t>
        </is>
      </c>
      <c r="E9" s="6" t="inlineStr">
        <is>
          <t>/mos-geo-ai-info</t>
        </is>
      </c>
      <c r="F9" s="7" t="inlineStr">
        <is>
          <t>campaigns/geo/YYYY-MM/ai-info/</t>
        </is>
      </c>
      <c r="G9" s="4" t="inlineStr">
        <is>
          <t>AI Info Page, Initiatives</t>
        </is>
      </c>
      <c r="H9" s="4" t="inlineStr">
        <is>
          <t>Not started</t>
        </is>
      </c>
      <c r="I9" s="4" t="inlineStr">
        <is>
          <t>☐</t>
        </is>
      </c>
      <c r="J9" s="8" t="n"/>
      <c r="K9" s="4" t="n"/>
    </row>
    <row r="10">
      <c r="B10" s="4" t="inlineStr">
        <is>
          <t>Content Strategy</t>
        </is>
      </c>
      <c r="C10" s="5" t="inlineStr">
        <is>
          <t>mos-geo-llm-buttons</t>
        </is>
      </c>
      <c r="D10" s="4" t="inlineStr">
        <is>
          <t>Client-ready LLM share buttons package: brief, code reference and an in-brand demo of 'ask ChatGPT / Claude / Perplexity about this page' buttons.</t>
        </is>
      </c>
      <c r="E10" s="6" t="inlineStr">
        <is>
          <t>/mos-geo-llm-buttons</t>
        </is>
      </c>
      <c r="F10" s="7" t="inlineStr">
        <is>
          <t>campaigns/geo/YYYY-MM/llm-buttons/</t>
        </is>
      </c>
      <c r="G10" s="4" t="inlineStr">
        <is>
          <t>Initiatives</t>
        </is>
      </c>
      <c r="H10" s="4" t="inlineStr">
        <is>
          <t>Not started</t>
        </is>
      </c>
      <c r="I10" s="4" t="inlineStr">
        <is>
          <t>☐</t>
        </is>
      </c>
      <c r="J10" s="8" t="n"/>
      <c r="K10" s="4" t="n"/>
    </row>
    <row r="11">
      <c r="B11" s="4" t="inlineStr">
        <is>
          <t>Technical Foundations</t>
        </is>
      </c>
      <c r="C11" s="5" t="inlineStr">
        <is>
          <t>mos-geo-internal-links</t>
        </is>
      </c>
      <c r="D11" s="4" t="inlineStr">
        <is>
          <t>Internal link audit (true contextual links vs template noise, orphans, deep pages, links to redirects and errors, anchor conflicts) plus reviewable contextual link recommendations: target, sentence and verbatim anchor, judged by TypeSafe Jev.</t>
        </is>
      </c>
      <c r="E11" s="6" t="inlineStr">
        <is>
          <t>/mos-geo-internal-links</t>
        </is>
      </c>
      <c r="F11" s="7" t="inlineStr">
        <is>
          <t>campaigns/geo/YYYY-MM/mos-geo-internal-links/</t>
        </is>
      </c>
      <c r="G11" s="4" t="inlineStr">
        <is>
          <t>None yet (audit and recommendations live in the run folder)</t>
        </is>
      </c>
      <c r="H11" s="4" t="inlineStr">
        <is>
          <t>Not started</t>
        </is>
      </c>
      <c r="I11" s="4" t="inlineStr">
        <is>
          <t>☐</t>
        </is>
      </c>
      <c r="J11" s="8" t="n"/>
      <c r="K11" s="4" t="n"/>
    </row>
    <row r="12">
      <c r="B12" s="4" t="inlineStr">
        <is>
          <t>Content Strategy</t>
        </is>
      </c>
      <c r="C12" s="5" t="inlineStr">
        <is>
          <t>mos-geo-fan-out</t>
        </is>
      </c>
      <c r="D12" s="4" t="inlineStr">
        <is>
          <t>For 1 to 500+ pages, finds the searches AI engines actually run (query fan-out) for the prompts each page should win, measures whether the page is cited today, and produces a per-page fix list (add exact string, add section, earn retrieval, skip unwinnable vendor searches) ranked by stability.</t>
        </is>
      </c>
      <c r="E12" s="6" t="inlineStr">
        <is>
          <t>/mos-geo-fan-out</t>
        </is>
      </c>
      <c r="F12" s="7" t="inlineStr">
        <is>
          <t>campaigns/geo/YYYY-MM/fan-out/</t>
        </is>
      </c>
      <c r="G12" s="4" t="inlineStr">
        <is>
          <t>Fan-Out, Initiatives</t>
        </is>
      </c>
      <c r="H12" s="4" t="inlineStr">
        <is>
          <t>Not started</t>
        </is>
      </c>
      <c r="I12" s="4" t="inlineStr">
        <is>
          <t>☐</t>
        </is>
      </c>
      <c r="J12" s="8" t="n"/>
      <c r="K12" s="4" t="n"/>
    </row>
    <row r="13"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</row>
    <row r="14">
      <c r="B14" s="9" t="inlineStr">
        <is>
          <t>Needs: mos-geo-brand-360: DataForSEO (OpenRouter, Bright Data optional); mos-geo-ai-info: Client website URL (uses Brand Truth Review corrections when present); mos-geo-llm-buttons: Client website URL; mos-geo-internal-links: Screaming Frog Internal HTML + All Inlinks exports and stored HTML (GSC columns optional); TypeSafe API key for judge/place; mos-geo-fan-out: DataForSEO (LLM Responses + LLM Mentions)</t>
        </is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</row>
    <row r="15"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</row>
    <row r="19"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</row>
    <row r="20"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</row>
    <row r="21"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</row>
    <row r="22"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</row>
    <row r="23"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</row>
    <row r="24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</row>
    <row r="25"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</row>
    <row r="27"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</row>
    <row r="28"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</row>
    <row r="29"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</row>
    <row r="30"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</row>
    <row r="32"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</row>
    <row r="33"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</row>
    <row r="34"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</row>
    <row r="35"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</row>
    <row r="38"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  <row r="41"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</row>
    <row r="43"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</row>
    <row r="44"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</row>
    <row r="45"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</row>
    <row r="46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</row>
    <row r="47"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</row>
    <row r="48"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</row>
    <row r="50"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</row>
    <row r="51"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</row>
    <row r="53"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</row>
    <row r="55"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</row>
    <row r="60"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</row>
    <row r="61"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</row>
    <row r="62"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</row>
    <row r="63"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</row>
    <row r="64"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</row>
    <row r="65"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</row>
    <row r="66"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</row>
    <row r="67"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</row>
  </sheetData>
  <autoFilter ref="B7:K67"/>
  <conditionalFormatting sqref="B8:K67">
    <cfRule type="expression" priority="1" dxfId="0">
      <formula>$I8="☑"</formula>
    </cfRule>
  </conditionalFormatting>
  <dataValidations count="2">
    <dataValidation sqref="H8:H67" showDropDown="0" showInputMessage="1" showErrorMessage="0" allowBlank="1" promptTitle="Pick one" prompt="Where this skill is up to." type="list">
      <formula1>"Not started,In progress,Client review,Completed,Not needed"</formula1>
    </dataValidation>
    <dataValidation sqref="I8:I67" showDropDown="0" showInputMessage="1" showErrorMessage="0" allowBlank="1" promptTitle="Pick one" prompt="Tick when the output is delivered." type="list">
      <formula1>"☐,☑"</formula1>
    </dataValidation>
  </dataValidation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67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20" customWidth="1" min="3" max="3"/>
    <col width="55" customWidth="1" min="4" max="4"/>
    <col width="30" customWidth="1" min="5" max="5"/>
    <col width="22" customWidth="1" min="6" max="6"/>
    <col width="16" customWidth="1" min="7" max="7"/>
    <col width="45" customWidth="1" min="8" max="8"/>
    <col width="12" customWidth="1" min="9" max="9"/>
    <col width="30" customWidth="1" min="10" max="10"/>
  </cols>
  <sheetData>
    <row r="2">
      <c r="B2" s="1" t="inlineStr">
        <is>
          <t>Brand Truth Review: is this what AI should say about [BRAND]?</t>
        </is>
      </c>
    </row>
    <row r="3">
      <c r="B3" s="2" t="inlineStr">
        <is>
          <t>Replaces pasting the whole Brand Brain report. Each row is one factual claim from the brand-360 report (research sections 1 to 17 and what the AI engines said in Section 18).</t>
        </is>
      </c>
    </row>
    <row r="4">
      <c r="B4" s="2" t="inlineStr">
        <is>
          <t>Client: mark each claim in 'Your verdict' and write the correct version where it is wrong. Skip anything you are not sure about; 'Not sure' is a valid answer.</t>
        </is>
      </c>
    </row>
    <row r="5">
      <c r="B5" s="2" t="inlineStr">
        <is>
          <t>Agency: every Inaccurate or Partly row becomes an Initiative (fix the page, profile or schema the claim came from).</t>
        </is>
      </c>
    </row>
    <row r="7" ht="32" customHeight="1">
      <c r="B7" s="3" t="inlineStr">
        <is>
          <t>#</t>
        </is>
      </c>
      <c r="C7" s="3" t="inlineStr">
        <is>
          <t>Topic</t>
        </is>
      </c>
      <c r="D7" s="3" t="inlineStr">
        <is>
          <t>What the research / AI says</t>
        </is>
      </c>
      <c r="E7" s="3" t="inlineStr">
        <is>
          <t>Where it came from</t>
        </is>
      </c>
      <c r="F7" s="3" t="inlineStr">
        <is>
          <t>Said by (AI surfaces)</t>
        </is>
      </c>
      <c r="G7" s="3" t="inlineStr">
        <is>
          <t>Your verdict</t>
        </is>
      </c>
      <c r="H7" s="3" t="inlineStr">
        <is>
          <t>Correct version (client)</t>
        </is>
      </c>
      <c r="I7" s="3" t="inlineStr">
        <is>
          <t>Fix priority</t>
        </is>
      </c>
      <c r="J7" s="3" t="inlineStr">
        <is>
          <t>Agency notes</t>
        </is>
      </c>
    </row>
    <row r="8">
      <c r="B8" s="10" t="inlineStr">
        <is>
          <t>(example)</t>
        </is>
      </c>
      <c r="C8" s="10" t="inlineStr">
        <is>
          <t>Founder</t>
        </is>
      </c>
      <c r="D8" s="10" t="inlineStr">
        <is>
          <t>Run by [NAME] in [CITY].</t>
        </is>
      </c>
      <c r="E8" s="10" t="inlineStr">
        <is>
          <t>Section 1, source [2]</t>
        </is>
      </c>
      <c r="F8" s="10" t="inlineStr">
        <is>
          <t>ChatGPT (app), Claude (API)</t>
        </is>
      </c>
      <c r="G8" s="10" t="n"/>
      <c r="H8" s="10" t="n"/>
      <c r="I8" s="10" t="n"/>
      <c r="J8" s="10" t="inlineStr">
        <is>
          <t>Delete this row</t>
        </is>
      </c>
    </row>
    <row r="9">
      <c r="B9" s="4">
        <f>IF(C9="","",ROW()-7)</f>
        <v/>
      </c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B10" s="4">
        <f>IF(C10="","",ROW()-7)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B11" s="4">
        <f>IF(C11="","",ROW()-7)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B12" s="4">
        <f>IF(C12="","",ROW()-7)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B13" s="4">
        <f>IF(C13="","",ROW()-7)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B14" s="4">
        <f>IF(C14="","",ROW()-7)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B15" s="4">
        <f>IF(C15="","",ROW()-7)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B16" s="4">
        <f>IF(C16="","",ROW()-7)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B17" s="4">
        <f>IF(C17="","",ROW()-7)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B18" s="4">
        <f>IF(C18="","",ROW()-7)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B19" s="4">
        <f>IF(C19="","",ROW()-7)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B20" s="4">
        <f>IF(C20="","",ROW()-7)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B21" s="4">
        <f>IF(C21="","",ROW()-7)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B22" s="4">
        <f>IF(C22="","",ROW()-7)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B23" s="4">
        <f>IF(C23="","",ROW()-7)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B24" s="4">
        <f>IF(C24="","",ROW()-7)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</row>
    <row r="25">
      <c r="B25" s="4">
        <f>IF(C25="","",ROW()-7)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</row>
    <row r="26">
      <c r="B26" s="4">
        <f>IF(C26="","",ROW()-7)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</row>
    <row r="27">
      <c r="B27" s="4">
        <f>IF(C27="","",ROW()-7)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</row>
    <row r="28">
      <c r="B28" s="4">
        <f>IF(C28="","",ROW()-7)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</row>
    <row r="29">
      <c r="B29" s="4">
        <f>IF(C29="","",ROW()-7)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</row>
    <row r="30">
      <c r="B30" s="4">
        <f>IF(C30="","",ROW()-7)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</row>
    <row r="31">
      <c r="B31" s="4">
        <f>IF(C31="","",ROW()-7)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</row>
    <row r="32">
      <c r="B32" s="4">
        <f>IF(C32="","",ROW()-7)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</row>
    <row r="33">
      <c r="B33" s="4">
        <f>IF(C33="","",ROW()-7)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</row>
    <row r="34">
      <c r="B34" s="4">
        <f>IF(C34="","",ROW()-7)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</row>
    <row r="35">
      <c r="B35" s="4">
        <f>IF(C35="","",ROW()-7)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</row>
    <row r="36">
      <c r="B36" s="4">
        <f>IF(C36="","",ROW()-7)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</row>
    <row r="37">
      <c r="B37" s="4">
        <f>IF(C37="","",ROW()-7)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</row>
    <row r="38">
      <c r="B38" s="4">
        <f>IF(C38="","",ROW()-7)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</row>
    <row r="39">
      <c r="B39" s="4">
        <f>IF(C39="","",ROW()-7)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</row>
    <row r="40">
      <c r="B40" s="4">
        <f>IF(C40="","",ROW()-7)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</row>
    <row r="41">
      <c r="B41" s="4">
        <f>IF(C41="","",ROW()-7)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</row>
    <row r="42">
      <c r="B42" s="4">
        <f>IF(C42="","",ROW()-7)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</row>
    <row r="43">
      <c r="B43" s="4">
        <f>IF(C43="","",ROW()-7)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</row>
    <row r="44">
      <c r="B44" s="4">
        <f>IF(C44="","",ROW()-7)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</row>
    <row r="45">
      <c r="B45" s="4">
        <f>IF(C45="","",ROW()-7)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</row>
    <row r="46">
      <c r="B46" s="4">
        <f>IF(C46="","",ROW()-7)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</row>
    <row r="47">
      <c r="B47" s="4">
        <f>IF(C47="","",ROW()-7)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</row>
    <row r="48">
      <c r="B48" s="4">
        <f>IF(C48="","",ROW()-7)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</row>
    <row r="49">
      <c r="B49" s="4">
        <f>IF(C49="","",ROW()-7)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</row>
    <row r="50">
      <c r="B50" s="4">
        <f>IF(C50="","",ROW()-7)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</row>
    <row r="51">
      <c r="B51" s="4">
        <f>IF(C51="","",ROW()-7)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</row>
    <row r="52">
      <c r="B52" s="4">
        <f>IF(C52="","",ROW()-7)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</row>
    <row r="53">
      <c r="B53" s="4">
        <f>IF(C53="","",ROW()-7)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</row>
    <row r="54">
      <c r="B54" s="4">
        <f>IF(C54="","",ROW()-7)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</row>
    <row r="55">
      <c r="B55" s="4">
        <f>IF(C55="","",ROW()-7)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</row>
    <row r="56">
      <c r="B56" s="4">
        <f>IF(C56="","",ROW()-7)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B57" s="4">
        <f>IF(C57="","",ROW()-7)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</row>
    <row r="58">
      <c r="B58" s="4">
        <f>IF(C58="","",ROW()-7)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</row>
    <row r="59">
      <c r="B59" s="4">
        <f>IF(C59="","",ROW()-7)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</row>
    <row r="60">
      <c r="B60" s="4">
        <f>IF(C60="","",ROW()-7)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</row>
    <row r="61">
      <c r="B61" s="4">
        <f>IF(C61="","",ROW()-7)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</row>
    <row r="62">
      <c r="B62" s="4">
        <f>IF(C62="","",ROW()-7)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</row>
    <row r="63">
      <c r="B63" s="4">
        <f>IF(C63="","",ROW()-7)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</row>
    <row r="64">
      <c r="B64" s="4">
        <f>IF(C64="","",ROW()-7)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</row>
    <row r="65">
      <c r="B65" s="4">
        <f>IF(C65="","",ROW()-7)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</row>
    <row r="66">
      <c r="B66" s="4">
        <f>IF(C66="","",ROW()-7)</f>
        <v/>
      </c>
      <c r="C66" s="4" t="n"/>
      <c r="D66" s="4" t="n"/>
      <c r="E66" s="4" t="n"/>
      <c r="F66" s="4" t="n"/>
      <c r="G66" s="4" t="n"/>
      <c r="H66" s="4" t="n"/>
      <c r="I66" s="4" t="n"/>
      <c r="J66" s="4" t="n"/>
    </row>
    <row r="67">
      <c r="B67" s="4">
        <f>IF(C67="","",ROW()-7)</f>
        <v/>
      </c>
      <c r="C67" s="4" t="n"/>
      <c r="D67" s="4" t="n"/>
      <c r="E67" s="4" t="n"/>
      <c r="F67" s="4" t="n"/>
      <c r="G67" s="4" t="n"/>
      <c r="H67" s="4" t="n"/>
      <c r="I67" s="4" t="n"/>
      <c r="J67" s="4" t="n"/>
    </row>
  </sheetData>
  <autoFilter ref="B7:J67"/>
  <conditionalFormatting sqref="G8:G67">
    <cfRule type="expression" priority="1" dxfId="1">
      <formula>$G8="Inaccurate"</formula>
    </cfRule>
    <cfRule type="expression" priority="2" dxfId="1">
      <formula>$G8="Out of date"</formula>
    </cfRule>
    <cfRule type="expression" priority="3" dxfId="0">
      <formula>$G8="Accurate"</formula>
    </cfRule>
  </conditionalFormatting>
  <dataValidations count="2">
    <dataValidation sqref="G8:G67" showDropDown="0" showInputMessage="1" showErrorMessage="0" allowBlank="1" promptTitle="Pick one" prompt="Is this claim true today?" type="list">
      <formula1>"Accurate,Partly accurate,Inaccurate,Not sure,Out of date"</formula1>
    </dataValidation>
    <dataValidation sqref="I8:I67" showDropDown="0" showInputMessage="1" showErrorMessage="0" allowBlank="1" promptTitle="Pick one" prompt="How much a wrong answer here hurts.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6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9" customWidth="1" min="2" max="2"/>
    <col width="20" customWidth="1" min="3" max="3"/>
    <col width="40" customWidth="1" min="4" max="4"/>
    <col width="50" customWidth="1" min="5" max="5"/>
    <col width="22" customWidth="1" min="6" max="6"/>
    <col width="20" customWidth="1" min="7" max="7"/>
    <col width="12" customWidth="1" min="8" max="8"/>
    <col width="18" customWidth="1" min="9" max="9"/>
    <col width="11" customWidth="1" min="10" max="10"/>
    <col width="11" customWidth="1" min="11" max="11"/>
    <col width="11" customWidth="1" min="12" max="12"/>
    <col width="30" customWidth="1" min="13" max="13"/>
  </cols>
  <sheetData>
    <row r="2">
      <c r="B2" s="1" t="inlineStr">
        <is>
          <t>Initiatives: fixes from the audit, ranked by ICE</t>
        </is>
      </c>
    </row>
    <row r="3">
      <c r="B3" s="2" t="inlineStr">
        <is>
          <t>ICE Score = Impact x Confidence / Ease (Ease: 1 = easy, 10 = hard). Sort by ICE Score, highest first.</t>
        </is>
      </c>
    </row>
    <row r="5" ht="32" customHeight="1">
      <c r="B5" s="3" t="inlineStr">
        <is>
          <t>ICE Score</t>
        </is>
      </c>
      <c r="C5" s="3" t="inlineStr">
        <is>
          <t>Category</t>
        </is>
      </c>
      <c r="D5" s="3" t="inlineStr">
        <is>
          <t>Task</t>
        </is>
      </c>
      <c r="E5" s="3" t="inlineStr">
        <is>
          <t>Instructions</t>
        </is>
      </c>
      <c r="F5" s="3" t="inlineStr">
        <is>
          <t>From skill</t>
        </is>
      </c>
      <c r="G5" s="3" t="inlineStr">
        <is>
          <t>Status</t>
        </is>
      </c>
      <c r="H5" s="3" t="inlineStr">
        <is>
          <t>Needs dev?</t>
        </is>
      </c>
      <c r="I5" s="3" t="inlineStr">
        <is>
          <t>Owner</t>
        </is>
      </c>
      <c r="J5" s="3" t="inlineStr">
        <is>
          <t>Impact (10 = high)</t>
        </is>
      </c>
      <c r="K5" s="3" t="inlineStr">
        <is>
          <t>Confidence (10 = high)</t>
        </is>
      </c>
      <c r="L5" s="3" t="inlineStr">
        <is>
          <t>Ease (1 = easy)</t>
        </is>
      </c>
      <c r="M5" s="3" t="inlineStr">
        <is>
          <t>Deliverable / link</t>
        </is>
      </c>
    </row>
    <row r="6">
      <c r="B6" s="4">
        <f>IFERROR(ROUND(J6*K6/L6,1),"")</f>
        <v/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>
      <c r="B7" s="4">
        <f>IFERROR(ROUND(J7*K7/L7,1),"")</f>
        <v/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8">
      <c r="B8" s="4">
        <f>IFERROR(ROUND(J8*K8/L8,1),"")</f>
        <v/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B9" s="4">
        <f>IFERROR(ROUND(J9*K9/L9,1),"")</f>
        <v/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</row>
    <row r="10">
      <c r="B10" s="4">
        <f>IFERROR(ROUND(J10*K10/L10,1),"")</f>
        <v/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</row>
    <row r="11">
      <c r="B11" s="4">
        <f>IFERROR(ROUND(J11*K11/L11,1),"")</f>
        <v/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</row>
    <row r="12">
      <c r="B12" s="4">
        <f>IFERROR(ROUND(J12*K12/L12,1),"")</f>
        <v/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</row>
    <row r="13">
      <c r="B13" s="4">
        <f>IFERROR(ROUND(J13*K13/L13,1),"")</f>
        <v/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</row>
    <row r="14">
      <c r="B14" s="4">
        <f>IFERROR(ROUND(J14*K14/L14,1),"")</f>
        <v/>
      </c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</row>
    <row r="15">
      <c r="B15" s="4">
        <f>IFERROR(ROUND(J15*K15/L15,1),"")</f>
        <v/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</row>
    <row r="16">
      <c r="B16" s="4">
        <f>IFERROR(ROUND(J16*K16/L16,1),"")</f>
        <v/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</row>
    <row r="17">
      <c r="B17" s="4">
        <f>IFERROR(ROUND(J17*K17/L17,1),"")</f>
        <v/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</row>
    <row r="18">
      <c r="B18" s="4">
        <f>IFERROR(ROUND(J18*K18/L18,1),"")</f>
        <v/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</row>
    <row r="19">
      <c r="B19" s="4">
        <f>IFERROR(ROUND(J19*K19/L19,1),"")</f>
        <v/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</row>
    <row r="20">
      <c r="B20" s="4">
        <f>IFERROR(ROUND(J20*K20/L20,1),"")</f>
        <v/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</row>
    <row r="21">
      <c r="B21" s="4">
        <f>IFERROR(ROUND(J21*K21/L21,1),"")</f>
        <v/>
      </c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</row>
    <row r="22">
      <c r="B22" s="4">
        <f>IFERROR(ROUND(J22*K22/L22,1),"")</f>
        <v/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</row>
    <row r="23">
      <c r="B23" s="4">
        <f>IFERROR(ROUND(J23*K23/L23,1),"")</f>
        <v/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</row>
    <row r="24">
      <c r="B24" s="4">
        <f>IFERROR(ROUND(J24*K24/L24,1),"")</f>
        <v/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</row>
    <row r="25">
      <c r="B25" s="4">
        <f>IFERROR(ROUND(J25*K25/L25,1),"")</f>
        <v/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</row>
    <row r="26">
      <c r="B26" s="4">
        <f>IFERROR(ROUND(J26*K26/L26,1),"")</f>
        <v/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</row>
    <row r="27">
      <c r="B27" s="4">
        <f>IFERROR(ROUND(J27*K27/L27,1),"")</f>
        <v/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</row>
    <row r="28">
      <c r="B28" s="4">
        <f>IFERROR(ROUND(J28*K28/L28,1),"")</f>
        <v/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</row>
    <row r="29">
      <c r="B29" s="4">
        <f>IFERROR(ROUND(J29*K29/L29,1),"")</f>
        <v/>
      </c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</row>
    <row r="30">
      <c r="B30" s="4">
        <f>IFERROR(ROUND(J30*K30/L30,1),"")</f>
        <v/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</row>
    <row r="31">
      <c r="B31" s="4">
        <f>IFERROR(ROUND(J31*K31/L31,1),"")</f>
        <v/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</row>
    <row r="32">
      <c r="B32" s="4">
        <f>IFERROR(ROUND(J32*K32/L32,1),"")</f>
        <v/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</row>
    <row r="33">
      <c r="B33" s="4">
        <f>IFERROR(ROUND(J33*K33/L33,1),"")</f>
        <v/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</row>
    <row r="34">
      <c r="B34" s="4">
        <f>IFERROR(ROUND(J34*K34/L34,1),"")</f>
        <v/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</row>
    <row r="35">
      <c r="B35" s="4">
        <f>IFERROR(ROUND(J35*K35/L35,1),"")</f>
        <v/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B36" s="4">
        <f>IFERROR(ROUND(J36*K36/L36,1),"")</f>
        <v/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</row>
    <row r="37">
      <c r="B37" s="4">
        <f>IFERROR(ROUND(J37*K37/L37,1),"")</f>
        <v/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</row>
    <row r="38">
      <c r="B38" s="4">
        <f>IFERROR(ROUND(J38*K38/L38,1),"")</f>
        <v/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</row>
    <row r="39">
      <c r="B39" s="4">
        <f>IFERROR(ROUND(J39*K39/L39,1),"")</f>
        <v/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</row>
    <row r="40">
      <c r="B40" s="4">
        <f>IFERROR(ROUND(J40*K40/L40,1),"")</f>
        <v/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</row>
    <row r="41">
      <c r="B41" s="4">
        <f>IFERROR(ROUND(J41*K41/L41,1),"")</f>
        <v/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</row>
    <row r="42">
      <c r="B42" s="4">
        <f>IFERROR(ROUND(J42*K42/L42,1),"")</f>
        <v/>
      </c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</row>
    <row r="43">
      <c r="B43" s="4">
        <f>IFERROR(ROUND(J43*K43/L43,1),"")</f>
        <v/>
      </c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B44" s="4">
        <f>IFERROR(ROUND(J44*K44/L44,1),"")</f>
        <v/>
      </c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</row>
    <row r="45">
      <c r="B45" s="4">
        <f>IFERROR(ROUND(J45*K45/L45,1),"")</f>
        <v/>
      </c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</row>
    <row r="46">
      <c r="B46" s="4">
        <f>IFERROR(ROUND(J46*K46/L46,1),"")</f>
        <v/>
      </c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B47" s="4">
        <f>IFERROR(ROUND(J47*K47/L47,1),"")</f>
        <v/>
      </c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</row>
    <row r="48">
      <c r="B48" s="4">
        <f>IFERROR(ROUND(J48*K48/L48,1),"")</f>
        <v/>
      </c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</row>
    <row r="49">
      <c r="B49" s="4">
        <f>IFERROR(ROUND(J49*K49/L49,1),"")</f>
        <v/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</row>
    <row r="50">
      <c r="B50" s="4">
        <f>IFERROR(ROUND(J50*K50/L50,1),"")</f>
        <v/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</row>
    <row r="51">
      <c r="B51" s="4">
        <f>IFERROR(ROUND(J51*K51/L51,1),"")</f>
        <v/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</row>
    <row r="52">
      <c r="B52" s="4">
        <f>IFERROR(ROUND(J52*K52/L52,1),"")</f>
        <v/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B53" s="4">
        <f>IFERROR(ROUND(J53*K53/L53,1),"")</f>
        <v/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</row>
    <row r="54">
      <c r="B54" s="4">
        <f>IFERROR(ROUND(J54*K54/L54,1),"")</f>
        <v/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</row>
    <row r="55">
      <c r="B55" s="4">
        <f>IFERROR(ROUND(J55*K55/L55,1),"")</f>
        <v/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</row>
    <row r="56">
      <c r="B56" s="4">
        <f>IFERROR(ROUND(J56*K56/L56,1),"")</f>
        <v/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</row>
    <row r="57">
      <c r="B57" s="4">
        <f>IFERROR(ROUND(J57*K57/L57,1),"")</f>
        <v/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</row>
    <row r="58">
      <c r="B58" s="4">
        <f>IFERROR(ROUND(J58*K58/L58,1),"")</f>
        <v/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</row>
    <row r="59">
      <c r="B59" s="4">
        <f>IFERROR(ROUND(J59*K59/L59,1),"")</f>
        <v/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</row>
    <row r="60">
      <c r="B60" s="4">
        <f>IFERROR(ROUND(J60*K60/L60,1),"")</f>
        <v/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</row>
    <row r="61">
      <c r="B61" s="4">
        <f>IFERROR(ROUND(J61*K61/L61,1),"")</f>
        <v/>
      </c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</row>
    <row r="62">
      <c r="B62" s="4">
        <f>IFERROR(ROUND(J62*K62/L62,1),"")</f>
        <v/>
      </c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</row>
    <row r="63">
      <c r="B63" s="4">
        <f>IFERROR(ROUND(J63*K63/L63,1),"")</f>
        <v/>
      </c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</row>
    <row r="64">
      <c r="B64" s="4">
        <f>IFERROR(ROUND(J64*K64/L64,1),"")</f>
        <v/>
      </c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</row>
    <row r="65">
      <c r="B65" s="4">
        <f>IFERROR(ROUND(J65*K65/L65,1),"")</f>
        <v/>
      </c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</row>
  </sheetData>
  <autoFilter ref="B5:M65"/>
  <conditionalFormatting sqref="B6:M65">
    <cfRule type="expression" priority="1" dxfId="0">
      <formula>$G6="Completed"</formula>
    </cfRule>
  </conditionalFormatting>
  <dataValidations count="5">
    <dataValidation sqref="C6:C65" showDropDown="0" showInputMessage="1" showErrorMessage="0" allowBlank="1" promptTitle="Pick one" prompt="Type of work." type="list">
      <formula1>"Brand Optimisation,Content Strategy,Competitive Analysis,Technical,Digital PR"</formula1>
    </dataValidation>
    <dataValidation sqref="G6:G65" showDropDown="0" showInputMessage="1" showErrorMessage="0" allowBlank="1" promptTitle="Pick one" prompt="Where this fix is up to." type="list">
      <formula1>"Scheduled,In progress (agency),Implementing (client),QA,Completed"</formula1>
    </dataValidation>
    <dataValidation sqref="H6:H65" showDropDown="0" showInputMessage="1" showErrorMessage="0" allowBlank="1" promptTitle="Pick one" prompt="Does a developer need to do this?" type="list">
      <formula1>"Yes,No"</formula1>
    </dataValidation>
    <dataValidation sqref="I6:I65" showDropDown="0" showInputMessage="1" showErrorMessage="0" allowBlank="1" promptTitle="Pick one" prompt="Who owns it." type="list">
      <formula1>"[AGENCY],[CLIENT],[DEV TEAM]"</formula1>
    </dataValidation>
    <dataValidation sqref="J6:L65" showDropDown="0" showInputMessage="0" showErrorMessage="1" allowBlank="1" error="Use a whole number from 1 to 10." type="whole" operator="between">
      <formula1>1</formula1>
      <formula2>10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Brand Audit Template</dc:title>
  <dcterms:created xsi:type="dcterms:W3CDTF">2026-09-25T12:17:52Z</dcterms:created>
  <dcterms:modified xsi:type="dcterms:W3CDTF">2026-09-25T12:17:52Z</dcterms:modified>
</cp:coreProperties>
</file>