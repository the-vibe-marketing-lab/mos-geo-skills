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Brand Truth Review" sheetId="2" state="visible" r:id="rId2"/>
    <sheet name="Initiatives" sheetId="3" state="visible" r:id="rId3"/>
  </sheets>
  <definedNames>
    <definedName name="_xlnm._FilterDatabase" localSheetId="0" hidden="1">'Checklist'!$B$7:$K$67</definedName>
    <definedName name="_xlnm._FilterDatabase" localSheetId="1" hidden="1">'Brand Truth Review'!$B$7:$J$67</definedName>
    <definedName name="_xlnm._FilterDatabase" localSheetId="2" hidden="1">'Initiatives'!$B$5:$M$65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1F2937"/>
      <sz val="16"/>
    </font>
    <font>
      <b val="1"/>
      <color rgb="00FFFFFF"/>
      <sz val="11"/>
    </font>
    <font>
      <color rgb="001D4ED8"/>
      <u val="single"/>
    </font>
    <font>
      <name val="Consolas"/>
    </font>
    <font>
      <name val="Consolas"/>
      <sz val="9"/>
    </font>
    <font>
      <i val="1"/>
      <color rgb="006B7280"/>
      <sz val="9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he-vibe-marketing-lab/mos-geo-skills/tree/main/mos-geo-brand-360" TargetMode="External" Id="rId1" /><Relationship Type="http://schemas.openxmlformats.org/officeDocument/2006/relationships/hyperlink" Target="https://github.com/the-vibe-marketing-lab/mos-geo-skills/tree/main/mos-geo-llm-button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6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24" customWidth="1" min="3" max="3"/>
    <col width="60" customWidth="1" min="4" max="4"/>
    <col width="20" customWidth="1" min="5" max="5"/>
    <col width="44" customWidth="1" min="6" max="6"/>
    <col width="22" customWidth="1" min="7" max="7"/>
    <col width="16" customWidth="1" min="8" max="8"/>
    <col width="8" customWidth="1" min="9" max="9"/>
    <col width="13" customWidth="1" min="10" max="10"/>
    <col width="40" customWidth="1" min="11" max="11"/>
  </cols>
  <sheetData>
    <row r="2">
      <c r="B2" s="1" t="inlineStr">
        <is>
          <t>GEO Brand Audit: Checklist</t>
        </is>
      </c>
    </row>
    <row r="3">
      <c r="B3" s="2" t="inlineStr">
        <is>
          <t>Client: [CLIENT]      Brand name (as customers say it): [BRAND]      Industry: [INDUSTRY]      Month: [YYYY-MM]</t>
        </is>
      </c>
    </row>
    <row r="4">
      <c r="B4" s="2" t="inlineStr">
        <is>
          <t>How to use: run each skill below in the client's MarketingOS brain, paste the output location, set Status, tick Done.</t>
        </is>
      </c>
    </row>
    <row r="5">
      <c r="B5" s="2" t="inlineStr">
        <is>
          <t>Rows are generated from the mos-geo-skills pack. New skills appear here when the template is rebuilt.</t>
        </is>
      </c>
    </row>
    <row r="7" ht="32" customHeight="1">
      <c r="B7" s="3" t="inlineStr">
        <is>
          <t>Category</t>
        </is>
      </c>
      <c r="C7" s="3" t="inlineStr">
        <is>
          <t>Skill</t>
        </is>
      </c>
      <c r="D7" s="3" t="inlineStr">
        <is>
          <t>What it does</t>
        </is>
      </c>
      <c r="E7" s="3" t="inlineStr">
        <is>
          <t>Run</t>
        </is>
      </c>
      <c r="F7" s="3" t="inlineStr">
        <is>
          <t>Output (where the result is saved)</t>
        </is>
      </c>
      <c r="G7" s="3" t="inlineStr">
        <is>
          <t>Feeds tab</t>
        </is>
      </c>
      <c r="H7" s="3" t="inlineStr">
        <is>
          <t>Status</t>
        </is>
      </c>
      <c r="I7" s="3" t="inlineStr">
        <is>
          <t>Done</t>
        </is>
      </c>
      <c r="J7" s="3" t="inlineStr">
        <is>
          <t>Date run</t>
        </is>
      </c>
      <c r="K7" s="3" t="inlineStr">
        <is>
          <t>Link to result / notes</t>
        </is>
      </c>
    </row>
    <row r="8">
      <c r="B8" s="4" t="inlineStr">
        <is>
          <t>Brand Optimisation</t>
        </is>
      </c>
      <c r="C8" s="5" t="inlineStr">
        <is>
          <t>mos-geo-brand-360</t>
        </is>
      </c>
      <c r="D8" s="4" t="inlineStr">
        <is>
          <t>360° brand intelligence report plus an AI Visibility Scorecard: does ChatGPT, Claude, Gemini, Perplexity, Google AI Mode and AI Overviews know, find, cite and recommend the brand.</t>
        </is>
      </c>
      <c r="E8" s="6" t="inlineStr">
        <is>
          <t>/mos-geo-brand-360</t>
        </is>
      </c>
      <c r="F8" s="7" t="inlineStr">
        <is>
          <t>campaigns/geo/YYYY-MM/&lt;brand&gt;/brand-360-report.md</t>
        </is>
      </c>
      <c r="G8" s="4" t="inlineStr">
        <is>
          <t>Brand Truth Review</t>
        </is>
      </c>
      <c r="H8" s="4" t="inlineStr">
        <is>
          <t>Not started</t>
        </is>
      </c>
      <c r="I8" s="4" t="inlineStr">
        <is>
          <t>☐</t>
        </is>
      </c>
      <c r="J8" s="8" t="n"/>
      <c r="K8" s="4" t="n"/>
    </row>
    <row r="9">
      <c r="B9" s="4" t="inlineStr">
        <is>
          <t>Content Strategy</t>
        </is>
      </c>
      <c r="C9" s="5" t="inlineStr">
        <is>
          <t>mos-geo-llm-buttons</t>
        </is>
      </c>
      <c r="D9" s="4" t="inlineStr">
        <is>
          <t>Client-ready LLM share buttons package: brief, code reference and an in-brand demo of 'ask ChatGPT / Claude / Perplexity about this page' buttons.</t>
        </is>
      </c>
      <c r="E9" s="6" t="inlineStr">
        <is>
          <t>/mos-geo-llm-buttons</t>
        </is>
      </c>
      <c r="F9" s="7" t="inlineStr">
        <is>
          <t>outputs/YYYY-MM-DD-&lt;client&gt;-llm-buttons/</t>
        </is>
      </c>
      <c r="G9" s="4" t="inlineStr">
        <is>
          <t>Initiatives</t>
        </is>
      </c>
      <c r="H9" s="4" t="inlineStr">
        <is>
          <t>Not started</t>
        </is>
      </c>
      <c r="I9" s="4" t="inlineStr">
        <is>
          <t>☐</t>
        </is>
      </c>
      <c r="J9" s="8" t="n"/>
      <c r="K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B11" s="9" t="inlineStr">
        <is>
          <t>Needs: mos-geo-brand-360: DataForSEO (OpenRouter, Bright Data optional); mos-geo-llm-buttons: Client website URL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</sheetData>
  <autoFilter ref="B7:K67"/>
  <conditionalFormatting sqref="B8:K67">
    <cfRule type="expression" priority="1" dxfId="0">
      <formula>$I8="☑"</formula>
    </cfRule>
  </conditionalFormatting>
  <dataValidations count="2">
    <dataValidation sqref="H8:H67" showDropDown="0" showInputMessage="1" showErrorMessage="0" allowBlank="1" promptTitle="Pick one" prompt="Where this skill is up to." type="list">
      <formula1>"Not started,In progress,Client review,Completed,Not needed"</formula1>
    </dataValidation>
    <dataValidation sqref="I8:I67" showDropDown="0" showInputMessage="1" showErrorMessage="0" allowBlank="1" promptTitle="Pick one" prompt="Tick when the output is delivered." type="list">
      <formula1>"☐,☑"</formula1>
    </dataValidation>
  </dataValidations>
  <hyperlinks>
    <hyperlink xmlns:r="http://schemas.openxmlformats.org/officeDocument/2006/relationships" ref="C8" r:id="rId1"/>
    <hyperlink xmlns:r="http://schemas.openxmlformats.org/officeDocument/2006/relationships" ref="C9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6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0" customWidth="1" min="3" max="3"/>
    <col width="55" customWidth="1" min="4" max="4"/>
    <col width="30" customWidth="1" min="5" max="5"/>
    <col width="22" customWidth="1" min="6" max="6"/>
    <col width="16" customWidth="1" min="7" max="7"/>
    <col width="45" customWidth="1" min="8" max="8"/>
    <col width="12" customWidth="1" min="9" max="9"/>
    <col width="30" customWidth="1" min="10" max="10"/>
  </cols>
  <sheetData>
    <row r="2">
      <c r="B2" s="1" t="inlineStr">
        <is>
          <t>Brand Truth Review: is this what AI should say about [BRAND]?</t>
        </is>
      </c>
    </row>
    <row r="3">
      <c r="B3" s="2" t="inlineStr">
        <is>
          <t>Replaces pasting the whole Brand Brain report. Each row is one factual claim from the brand-360 report (research sections 1 to 17 and what the AI engines said in Section 18).</t>
        </is>
      </c>
    </row>
    <row r="4">
      <c r="B4" s="2" t="inlineStr">
        <is>
          <t>Client: mark each claim in 'Your verdict' and write the correct version where it is wrong. Skip anything you are not sure about; 'Not sure' is a valid answer.</t>
        </is>
      </c>
    </row>
    <row r="5">
      <c r="B5" s="2" t="inlineStr">
        <is>
          <t>Agency: every Inaccurate or Partly row becomes an Initiative (fix the page, profile or schema the claim came from).</t>
        </is>
      </c>
    </row>
    <row r="7" ht="32" customHeight="1">
      <c r="B7" s="3" t="inlineStr">
        <is>
          <t>#</t>
        </is>
      </c>
      <c r="C7" s="3" t="inlineStr">
        <is>
          <t>Topic</t>
        </is>
      </c>
      <c r="D7" s="3" t="inlineStr">
        <is>
          <t>What the research / AI says</t>
        </is>
      </c>
      <c r="E7" s="3" t="inlineStr">
        <is>
          <t>Where it came from</t>
        </is>
      </c>
      <c r="F7" s="3" t="inlineStr">
        <is>
          <t>Said by (AI surfaces)</t>
        </is>
      </c>
      <c r="G7" s="3" t="inlineStr">
        <is>
          <t>Your verdict</t>
        </is>
      </c>
      <c r="H7" s="3" t="inlineStr">
        <is>
          <t>Correct version (client)</t>
        </is>
      </c>
      <c r="I7" s="3" t="inlineStr">
        <is>
          <t>Fix priority</t>
        </is>
      </c>
      <c r="J7" s="3" t="inlineStr">
        <is>
          <t>Agency notes</t>
        </is>
      </c>
    </row>
    <row r="8">
      <c r="B8" s="10" t="inlineStr">
        <is>
          <t>(example)</t>
        </is>
      </c>
      <c r="C8" s="10" t="inlineStr">
        <is>
          <t>Founder</t>
        </is>
      </c>
      <c r="D8" s="10" t="inlineStr">
        <is>
          <t>Run by [NAME] in [CITY].</t>
        </is>
      </c>
      <c r="E8" s="10" t="inlineStr">
        <is>
          <t>Section 1, source [2]</t>
        </is>
      </c>
      <c r="F8" s="10" t="inlineStr">
        <is>
          <t>ChatGPT (app), Claude (API)</t>
        </is>
      </c>
      <c r="G8" s="10" t="n"/>
      <c r="H8" s="10" t="n"/>
      <c r="I8" s="10" t="n"/>
      <c r="J8" s="10" t="inlineStr">
        <is>
          <t>Delete this row</t>
        </is>
      </c>
    </row>
    <row r="9">
      <c r="B9" s="4">
        <f>IF(C9="","",ROW()-7)</f>
        <v/>
      </c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B10" s="4">
        <f>IF(C10="","",ROW()-7)</f>
        <v/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B11" s="4">
        <f>IF(C11="","",ROW()-7)</f>
        <v/>
      </c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B12" s="4">
        <f>IF(C12="","",ROW()-7)</f>
        <v/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B13" s="4">
        <f>IF(C13="","",ROW()-7)</f>
        <v/>
      </c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B14" s="4">
        <f>IF(C14="","",ROW()-7)</f>
        <v/>
      </c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B15" s="4">
        <f>IF(C15="","",ROW()-7)</f>
        <v/>
      </c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B16" s="4">
        <f>IF(C16="","",ROW()-7)</f>
        <v/>
      </c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B17" s="4">
        <f>IF(C17="","",ROW()-7)</f>
        <v/>
      </c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B18" s="4">
        <f>IF(C18="","",ROW()-7)</f>
        <v/>
      </c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B19" s="4">
        <f>IF(C19="","",ROW()-7)</f>
        <v/>
      </c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B20" s="4">
        <f>IF(C20="","",ROW()-7)</f>
        <v/>
      </c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B21" s="4">
        <f>IF(C21="","",ROW()-7)</f>
        <v/>
      </c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B22" s="4">
        <f>IF(C22="","",ROW()-7)</f>
        <v/>
      </c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B23" s="4">
        <f>IF(C23="","",ROW()-7)</f>
        <v/>
      </c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B24" s="4">
        <f>IF(C24="","",ROW()-7)</f>
        <v/>
      </c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B25" s="4">
        <f>IF(C25="","",ROW()-7)</f>
        <v/>
      </c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B26" s="4">
        <f>IF(C26="","",ROW()-7)</f>
        <v/>
      </c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B27" s="4">
        <f>IF(C27="","",ROW()-7)</f>
        <v/>
      </c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B28" s="4">
        <f>IF(C28="","",ROW()-7)</f>
        <v/>
      </c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B29" s="4">
        <f>IF(C29="","",ROW()-7)</f>
        <v/>
      </c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B30" s="4">
        <f>IF(C30="","",ROW()-7)</f>
        <v/>
      </c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B31" s="4">
        <f>IF(C31="","",ROW()-7)</f>
        <v/>
      </c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B32" s="4">
        <f>IF(C32="","",ROW()-7)</f>
        <v/>
      </c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B33" s="4">
        <f>IF(C33="","",ROW()-7)</f>
        <v/>
      </c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B34" s="4">
        <f>IF(C34="","",ROW()-7)</f>
        <v/>
      </c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B35" s="4">
        <f>IF(C35="","",ROW()-7)</f>
        <v/>
      </c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B36" s="4">
        <f>IF(C36="","",ROW()-7)</f>
        <v/>
      </c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B37" s="4">
        <f>IF(C37="","",ROW()-7)</f>
        <v/>
      </c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B38" s="4">
        <f>IF(C38="","",ROW()-7)</f>
        <v/>
      </c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B39" s="4">
        <f>IF(C39="","",ROW()-7)</f>
        <v/>
      </c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B40" s="4">
        <f>IF(C40="","",ROW()-7)</f>
        <v/>
      </c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B41" s="4">
        <f>IF(C41="","",ROW()-7)</f>
        <v/>
      </c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B42" s="4">
        <f>IF(C42="","",ROW()-7)</f>
        <v/>
      </c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B43" s="4">
        <f>IF(C43="","",ROW()-7)</f>
        <v/>
      </c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B44" s="4">
        <f>IF(C44="","",ROW()-7)</f>
        <v/>
      </c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B45" s="4">
        <f>IF(C45="","",ROW()-7)</f>
        <v/>
      </c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B46" s="4">
        <f>IF(C46="","",ROW()-7)</f>
        <v/>
      </c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B47" s="4">
        <f>IF(C47="","",ROW()-7)</f>
        <v/>
      </c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B48" s="4">
        <f>IF(C48="","",ROW()-7)</f>
        <v/>
      </c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B49" s="4">
        <f>IF(C49="","",ROW()-7)</f>
        <v/>
      </c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B50" s="4">
        <f>IF(C50="","",ROW()-7)</f>
        <v/>
      </c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B51" s="4">
        <f>IF(C51="","",ROW()-7)</f>
        <v/>
      </c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B52" s="4">
        <f>IF(C52="","",ROW()-7)</f>
        <v/>
      </c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B53" s="4">
        <f>IF(C53="","",ROW()-7)</f>
        <v/>
      </c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B54" s="4">
        <f>IF(C54="","",ROW()-7)</f>
        <v/>
      </c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B55" s="4">
        <f>IF(C55="","",ROW()-7)</f>
        <v/>
      </c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B56" s="4">
        <f>IF(C56="","",ROW()-7)</f>
        <v/>
      </c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B57" s="4">
        <f>IF(C57="","",ROW()-7)</f>
        <v/>
      </c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B58" s="4">
        <f>IF(C58="","",ROW()-7)</f>
        <v/>
      </c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B59" s="4">
        <f>IF(C59="","",ROW()-7)</f>
        <v/>
      </c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B60" s="4">
        <f>IF(C60="","",ROW()-7)</f>
        <v/>
      </c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B61" s="4">
        <f>IF(C61="","",ROW()-7)</f>
        <v/>
      </c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B62" s="4">
        <f>IF(C62="","",ROW()-7)</f>
        <v/>
      </c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B63" s="4">
        <f>IF(C63="","",ROW()-7)</f>
        <v/>
      </c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B64" s="4">
        <f>IF(C64="","",ROW()-7)</f>
        <v/>
      </c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B65" s="4">
        <f>IF(C65="","",ROW()-7)</f>
        <v/>
      </c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B66" s="4">
        <f>IF(C66="","",ROW()-7)</f>
        <v/>
      </c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B67" s="4">
        <f>IF(C67="","",ROW()-7)</f>
        <v/>
      </c>
      <c r="C67" s="4" t="n"/>
      <c r="D67" s="4" t="n"/>
      <c r="E67" s="4" t="n"/>
      <c r="F67" s="4" t="n"/>
      <c r="G67" s="4" t="n"/>
      <c r="H67" s="4" t="n"/>
      <c r="I67" s="4" t="n"/>
      <c r="J67" s="4" t="n"/>
    </row>
  </sheetData>
  <autoFilter ref="B7:J67"/>
  <conditionalFormatting sqref="G8:G67">
    <cfRule type="expression" priority="1" dxfId="1">
      <formula>$G8="Inaccurate"</formula>
    </cfRule>
    <cfRule type="expression" priority="2" dxfId="1">
      <formula>$G8="Out of date"</formula>
    </cfRule>
    <cfRule type="expression" priority="3" dxfId="0">
      <formula>$G8="Accurate"</formula>
    </cfRule>
  </conditionalFormatting>
  <dataValidations count="2">
    <dataValidation sqref="G8:G67" showDropDown="0" showInputMessage="1" showErrorMessage="0" allowBlank="1" promptTitle="Pick one" prompt="Is this claim true today?" type="list">
      <formula1>"Accurate,Partly accurate,Inaccurate,Not sure,Out of date"</formula1>
    </dataValidation>
    <dataValidation sqref="I8:I67" showDropDown="0" showInputMessage="1" showErrorMessage="0" allowBlank="1" promptTitle="Pick one" prompt="How much a wrong answer here hurts.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6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20" customWidth="1" min="3" max="3"/>
    <col width="40" customWidth="1" min="4" max="4"/>
    <col width="50" customWidth="1" min="5" max="5"/>
    <col width="22" customWidth="1" min="6" max="6"/>
    <col width="20" customWidth="1" min="7" max="7"/>
    <col width="12" customWidth="1" min="8" max="8"/>
    <col width="18" customWidth="1" min="9" max="9"/>
    <col width="11" customWidth="1" min="10" max="10"/>
    <col width="11" customWidth="1" min="11" max="11"/>
    <col width="11" customWidth="1" min="12" max="12"/>
    <col width="30" customWidth="1" min="13" max="13"/>
  </cols>
  <sheetData>
    <row r="2">
      <c r="B2" s="1" t="inlineStr">
        <is>
          <t>Initiatives: fixes from the audit, ranked by ICE</t>
        </is>
      </c>
    </row>
    <row r="3">
      <c r="B3" s="2" t="inlineStr">
        <is>
          <t>ICE Score = Impact x Confidence / Ease (Ease: 1 = easy, 10 = hard). Sort by ICE Score, highest first.</t>
        </is>
      </c>
    </row>
    <row r="5" ht="32" customHeight="1">
      <c r="B5" s="3" t="inlineStr">
        <is>
          <t>ICE Score</t>
        </is>
      </c>
      <c r="C5" s="3" t="inlineStr">
        <is>
          <t>Category</t>
        </is>
      </c>
      <c r="D5" s="3" t="inlineStr">
        <is>
          <t>Task</t>
        </is>
      </c>
      <c r="E5" s="3" t="inlineStr">
        <is>
          <t>Instructions</t>
        </is>
      </c>
      <c r="F5" s="3" t="inlineStr">
        <is>
          <t>From skill</t>
        </is>
      </c>
      <c r="G5" s="3" t="inlineStr">
        <is>
          <t>Status</t>
        </is>
      </c>
      <c r="H5" s="3" t="inlineStr">
        <is>
          <t>Needs dev?</t>
        </is>
      </c>
      <c r="I5" s="3" t="inlineStr">
        <is>
          <t>Owner</t>
        </is>
      </c>
      <c r="J5" s="3" t="inlineStr">
        <is>
          <t>Impact (10 = high)</t>
        </is>
      </c>
      <c r="K5" s="3" t="inlineStr">
        <is>
          <t>Confidence (10 = high)</t>
        </is>
      </c>
      <c r="L5" s="3" t="inlineStr">
        <is>
          <t>Ease (1 = easy)</t>
        </is>
      </c>
      <c r="M5" s="3" t="inlineStr">
        <is>
          <t>Deliverable / link</t>
        </is>
      </c>
    </row>
    <row r="6">
      <c r="B6" s="4">
        <f>IFERROR(ROUND(J6*K6/L6,1),"")</f>
        <v/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B7" s="4">
        <f>IFERROR(ROUND(J7*K7/L7,1),"")</f>
        <v/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B8" s="4">
        <f>IFERROR(ROUND(J8*K8/L8,1),"")</f>
        <v/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B9" s="4">
        <f>IFERROR(ROUND(J9*K9/L9,1),"")</f>
        <v/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B10" s="4">
        <f>IFERROR(ROUND(J10*K10/L10,1),"")</f>
        <v/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B11" s="4">
        <f>IFERROR(ROUND(J11*K11/L11,1),"")</f>
        <v/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B12" s="4">
        <f>IFERROR(ROUND(J12*K12/L12,1),"")</f>
        <v/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B13" s="4">
        <f>IFERROR(ROUND(J13*K13/L13,1),"")</f>
        <v/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B14" s="4">
        <f>IFERROR(ROUND(J14*K14/L14,1),"")</f>
        <v/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B15" s="4">
        <f>IFERROR(ROUND(J15*K15/L15,1),"")</f>
        <v/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B16" s="4">
        <f>IFERROR(ROUND(J16*K16/L16,1),"")</f>
        <v/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B17" s="4">
        <f>IFERROR(ROUND(J17*K17/L17,1),"")</f>
        <v/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B18" s="4">
        <f>IFERROR(ROUND(J18*K18/L18,1),"")</f>
        <v/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B19" s="4">
        <f>IFERROR(ROUND(J19*K19/L19,1),"")</f>
        <v/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B20" s="4">
        <f>IFERROR(ROUND(J20*K20/L20,1),"")</f>
        <v/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B21" s="4">
        <f>IFERROR(ROUND(J21*K21/L21,1),"")</f>
        <v/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B22" s="4">
        <f>IFERROR(ROUND(J22*K22/L22,1),"")</f>
        <v/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B23" s="4">
        <f>IFERROR(ROUND(J23*K23/L23,1),"")</f>
        <v/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B24" s="4">
        <f>IFERROR(ROUND(J24*K24/L24,1),"")</f>
        <v/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B25" s="4">
        <f>IFERROR(ROUND(J25*K25/L25,1),"")</f>
        <v/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B26" s="4">
        <f>IFERROR(ROUND(J26*K26/L26,1),"")</f>
        <v/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B27" s="4">
        <f>IFERROR(ROUND(J27*K27/L27,1),"")</f>
        <v/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B28" s="4">
        <f>IFERROR(ROUND(J28*K28/L28,1),"")</f>
        <v/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B29" s="4">
        <f>IFERROR(ROUND(J29*K29/L29,1),"")</f>
        <v/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B30" s="4">
        <f>IFERROR(ROUND(J30*K30/L30,1),"")</f>
        <v/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B31" s="4">
        <f>IFERROR(ROUND(J31*K31/L31,1),"")</f>
        <v/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B32" s="4">
        <f>IFERROR(ROUND(J32*K32/L32,1),"")</f>
        <v/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B33" s="4">
        <f>IFERROR(ROUND(J33*K33/L33,1),"")</f>
        <v/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B34" s="4">
        <f>IFERROR(ROUND(J34*K34/L34,1),"")</f>
        <v/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B35" s="4">
        <f>IFERROR(ROUND(J35*K35/L35,1),"")</f>
        <v/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B36" s="4">
        <f>IFERROR(ROUND(J36*K36/L36,1),"")</f>
        <v/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B37" s="4">
        <f>IFERROR(ROUND(J37*K37/L37,1),"")</f>
        <v/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B38" s="4">
        <f>IFERROR(ROUND(J38*K38/L38,1),"")</f>
        <v/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B39" s="4">
        <f>IFERROR(ROUND(J39*K39/L39,1),"")</f>
        <v/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B40" s="4">
        <f>IFERROR(ROUND(J40*K40/L40,1),"")</f>
        <v/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B41" s="4">
        <f>IFERROR(ROUND(J41*K41/L41,1),"")</f>
        <v/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B42" s="4">
        <f>IFERROR(ROUND(J42*K42/L42,1),"")</f>
        <v/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B43" s="4">
        <f>IFERROR(ROUND(J43*K43/L43,1),"")</f>
        <v/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B44" s="4">
        <f>IFERROR(ROUND(J44*K44/L44,1),"")</f>
        <v/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B45" s="4">
        <f>IFERROR(ROUND(J45*K45/L45,1),"")</f>
        <v/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B46" s="4">
        <f>IFERROR(ROUND(J46*K46/L46,1),"")</f>
        <v/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B47" s="4">
        <f>IFERROR(ROUND(J47*K47/L47,1),"")</f>
        <v/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B48" s="4">
        <f>IFERROR(ROUND(J48*K48/L48,1),"")</f>
        <v/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B49" s="4">
        <f>IFERROR(ROUND(J49*K49/L49,1),"")</f>
        <v/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B50" s="4">
        <f>IFERROR(ROUND(J50*K50/L50,1),"")</f>
        <v/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B51" s="4">
        <f>IFERROR(ROUND(J51*K51/L51,1),"")</f>
        <v/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B52" s="4">
        <f>IFERROR(ROUND(J52*K52/L52,1),"")</f>
        <v/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B53" s="4">
        <f>IFERROR(ROUND(J53*K53/L53,1),"")</f>
        <v/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B54" s="4">
        <f>IFERROR(ROUND(J54*K54/L54,1),"")</f>
        <v/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B55" s="4">
        <f>IFERROR(ROUND(J55*K55/L55,1),"")</f>
        <v/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B56" s="4">
        <f>IFERROR(ROUND(J56*K56/L56,1),"")</f>
        <v/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B57" s="4">
        <f>IFERROR(ROUND(J57*K57/L57,1),"")</f>
        <v/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B58" s="4">
        <f>IFERROR(ROUND(J58*K58/L58,1),"")</f>
        <v/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B59" s="4">
        <f>IFERROR(ROUND(J59*K59/L59,1),"")</f>
        <v/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B60" s="4">
        <f>IFERROR(ROUND(J60*K60/L60,1),"")</f>
        <v/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B61" s="4">
        <f>IFERROR(ROUND(J61*K61/L61,1),"")</f>
        <v/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B62" s="4">
        <f>IFERROR(ROUND(J62*K62/L62,1),"")</f>
        <v/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B63" s="4">
        <f>IFERROR(ROUND(J63*K63/L63,1),"")</f>
        <v/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B64" s="4">
        <f>IFERROR(ROUND(J64*K64/L64,1),"")</f>
        <v/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B65" s="4">
        <f>IFERROR(ROUND(J65*K65/L65,1),"")</f>
        <v/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</sheetData>
  <autoFilter ref="B5:M65"/>
  <conditionalFormatting sqref="B6:M65">
    <cfRule type="expression" priority="1" dxfId="0">
      <formula>$G6="Completed"</formula>
    </cfRule>
  </conditionalFormatting>
  <dataValidations count="5">
    <dataValidation sqref="C6:C65" showDropDown="0" showInputMessage="1" showErrorMessage="0" allowBlank="1" promptTitle="Pick one" prompt="Type of work." type="list">
      <formula1>"Brand Optimisation,Content Strategy,Competitive Analysis,Technical,Digital PR"</formula1>
    </dataValidation>
    <dataValidation sqref="G6:G65" showDropDown="0" showInputMessage="1" showErrorMessage="0" allowBlank="1" promptTitle="Pick one" prompt="Where this fix is up to." type="list">
      <formula1>"Scheduled,In progress (agency),Implementing (client),QA,Completed"</formula1>
    </dataValidation>
    <dataValidation sqref="H6:H65" showDropDown="0" showInputMessage="1" showErrorMessage="0" allowBlank="1" promptTitle="Pick one" prompt="Does a developer need to do this?" type="list">
      <formula1>"Yes,No"</formula1>
    </dataValidation>
    <dataValidation sqref="I6:I65" showDropDown="0" showInputMessage="1" showErrorMessage="0" allowBlank="1" promptTitle="Pick one" prompt="Who owns it." type="list">
      <formula1>"[AGENCY],[CLIENT],[DEV TEAM]"</formula1>
    </dataValidation>
    <dataValidation sqref="J6:L65" showDropDown="0" showInputMessage="0" showErrorMessage="1" allowBlank="1" error="Use a whole number from 1 to 10." type="whole" operator="between">
      <formula1>1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Brand Audit Template</dc:title>
  <dcterms:created xsi:type="dcterms:W3CDTF">2026-09-16T21:00:44Z</dcterms:created>
  <dcterms:modified xsi:type="dcterms:W3CDTF">2026-09-16T21:00:44Z</dcterms:modified>
</cp:coreProperties>
</file>